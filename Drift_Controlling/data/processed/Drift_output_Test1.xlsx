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udsætninger" sheetId="1" state="visible" r:id="rId1"/>
    <sheet xmlns:r="http://schemas.openxmlformats.org/officeDocument/2006/relationships" name="Drift" sheetId="2" state="visible" r:id="rId2"/>
    <sheet xmlns:r="http://schemas.openxmlformats.org/officeDocument/2006/relationships" name="Fravalgt" sheetId="3" state="visible" r:id="rId3"/>
  </sheets>
  <definedNames>
    <definedName name="_xlnm._FilterDatabase" localSheetId="1" hidden="1">'Drift'!$A$1:$O$15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b val="1"/>
      <color rgb="FF0000FF"/>
      <sz val="10"/>
    </font>
    <font>
      <name val="Arial"/>
      <b val="1"/>
      <color rgb="FFFFFFFF"/>
      <sz val="10"/>
    </font>
    <font>
      <name val="Arial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1F38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medium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2" fontId="4" fillId="2" borderId="1" pivotButton="0" quotePrefix="0" xfId="0"/>
    <xf numFmtId="165" fontId="2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3" fontId="2" fillId="0" borderId="2" pivotButton="0" quotePrefix="0" xfId="0"/>
    <xf numFmtId="2" fontId="2" fillId="0" borderId="2" pivotButton="0" quotePrefix="0" xfId="0"/>
    <xf numFmtId="165" fontId="2" fillId="0" borderId="2" pivotButton="0" quotePrefix="0" xfId="0"/>
    <xf numFmtId="0" fontId="0" fillId="0" borderId="3" pivotButton="0" quotePrefix="0" xfId="0"/>
    <xf numFmtId="0" fontId="1" fillId="0" borderId="3" pivotButton="0" quotePrefix="0" xfId="0"/>
    <xf numFmtId="3" fontId="1" fillId="0" borderId="3" pivotButton="0" quotePrefix="0" xfId="0"/>
    <xf numFmtId="2" fontId="1" fillId="0" borderId="3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</cols>
  <sheetData>
    <row r="1">
      <c r="A1" s="1" t="inlineStr">
        <is>
          <t>Controlling af drift i bottom up (LB)</t>
        </is>
      </c>
      <c r="B1" s="2" t="inlineStr"/>
    </row>
    <row r="2">
      <c r="A2" s="2" t="inlineStr"/>
      <c r="B2" s="2" t="inlineStr"/>
    </row>
    <row r="3">
      <c r="A3" s="3" t="inlineStr">
        <is>
          <t>Benchmark (måned/12)</t>
        </is>
      </c>
      <c r="B3" s="4" t="n">
        <v>0.5</v>
      </c>
    </row>
    <row r="4">
      <c r="A4" s="3" t="inlineStr">
        <is>
          <t>Benchmarkmåned</t>
        </is>
      </c>
      <c r="B4" s="2" t="n">
        <v>6</v>
      </c>
    </row>
    <row r="5">
      <c r="A5" s="3" t="inlineStr">
        <is>
          <t>Kørt den</t>
        </is>
      </c>
      <c r="B5" s="5" t="n">
        <v>46231</v>
      </c>
    </row>
    <row r="6">
      <c r="A6" s="2" t="inlineStr"/>
      <c r="B6" s="2" t="inlineStr"/>
    </row>
    <row r="7">
      <c r="A7" s="3" t="inlineStr">
        <is>
          <t>LB-fil</t>
        </is>
      </c>
      <c r="B7" s="2" t="inlineStr">
        <is>
          <t>LB fil EPM Projektbudget Løbende Budget(LB fil).csv</t>
        </is>
      </c>
    </row>
    <row r="8">
      <c r="A8" s="3" t="inlineStr">
        <is>
          <t>Projektstamdatafil</t>
        </is>
      </c>
      <c r="B8" s="2" t="inlineStr">
        <is>
          <t>Projektstamdata - Projektoprettelse(sheet1).csv</t>
        </is>
      </c>
    </row>
    <row r="9">
      <c r="A9" s="2" t="inlineStr"/>
      <c r="B9" s="2" t="inlineStr"/>
    </row>
    <row r="10">
      <c r="A10" s="3" t="inlineStr">
        <is>
          <t>Medtagne udgiftskategorier</t>
        </is>
      </c>
      <c r="B10" s="2" t="inlineStr">
        <is>
          <t>Intern produktion mv., køb; Lejeomkostninger o.l.; Rejser og repræsentation; Øvrige omkostninger</t>
        </is>
      </c>
    </row>
    <row r="11">
      <c r="A11" s="3" t="inlineStr">
        <is>
          <t>Gruppering</t>
        </is>
      </c>
      <c r="B11" s="2" t="inlineStr">
        <is>
          <t>Projekt + UK + udgiftskategori</t>
        </is>
      </c>
    </row>
    <row r="12">
      <c r="A12" s="3" t="inlineStr">
        <is>
          <t>Antal linjer i output</t>
        </is>
      </c>
      <c r="B12" s="2" t="n">
        <v>14</v>
      </c>
    </row>
    <row r="13">
      <c r="A13" s="2" t="inlineStr"/>
      <c r="B13" s="2" t="inlineStr"/>
    </row>
    <row r="14">
      <c r="A14" s="3" t="inlineStr">
        <is>
          <t>Bemærk</t>
        </is>
      </c>
      <c r="B14" s="2" t="inlineStr">
        <is>
          <t>Gul celle B3 er eneste inputcelle. Ændres benchmark her, genberegnes kolonne J og K på fanen Drift.</t>
        </is>
      </c>
    </row>
    <row r="15">
      <c r="A15" s="3" t="inlineStr">
        <is>
          <t>Kolonne H</t>
        </is>
      </c>
      <c r="B15" s="2" t="inlineStr">
        <is>
          <t>Beregnes som F-G (svarer til LB-filens kolonne J).</t>
        </is>
      </c>
    </row>
    <row r="16">
      <c r="A16" s="3" t="inlineStr">
        <is>
          <t>Kolonne I</t>
        </is>
      </c>
      <c r="B16" s="2" t="inlineStr">
        <is>
          <t>G/F, dvs. forbrugsprocent af løbende budget.</t>
        </is>
      </c>
    </row>
    <row r="17">
      <c r="A17" s="3" t="inlineStr">
        <is>
          <t>Kolonne K</t>
        </is>
      </c>
      <c r="B17" s="2" t="inlineStr">
        <is>
          <t>G/J-F, dvs. estimeret helårsforbrug minus løbende budget.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7" customWidth="1" min="4" max="4"/>
    <col width="24" customWidth="1" min="5" max="5"/>
    <col width="18" customWidth="1" min="6" max="6"/>
    <col width="15" customWidth="1" min="7" max="7"/>
    <col width="15" customWidth="1" min="8" max="8"/>
    <col width="15" customWidth="1" min="9" max="9"/>
    <col width="11" customWidth="1" min="10" max="10"/>
    <col width="18" customWidth="1" min="11" max="11"/>
    <col width="26" customWidth="1" min="12" max="12"/>
    <col width="26" customWidth="1" min="13" max="13"/>
    <col width="12" customWidth="1" min="14" max="14"/>
    <col width="12" customWidth="1" min="15" max="15"/>
  </cols>
  <sheetData>
    <row r="1" ht="30" customHeight="1">
      <c r="A1" s="6" t="inlineStr">
        <is>
          <t>Sektionsnummer</t>
        </is>
      </c>
      <c r="B1" s="6" t="inlineStr">
        <is>
          <t>Projektnummer</t>
        </is>
      </c>
      <c r="C1" s="6" t="inlineStr">
        <is>
          <t>Projektnavn</t>
        </is>
      </c>
      <c r="D1" s="6" t="inlineStr">
        <is>
          <t>UK</t>
        </is>
      </c>
      <c r="E1" s="6" t="inlineStr">
        <is>
          <t>Udgiftskategori</t>
        </is>
      </c>
      <c r="F1" s="6" t="inlineStr">
        <is>
          <t>Løbende budget YTD</t>
        </is>
      </c>
      <c r="G1" s="6" t="inlineStr">
        <is>
          <t>Actuals YTD</t>
        </is>
      </c>
      <c r="H1" s="6" t="inlineStr">
        <is>
          <t>Difference YTD</t>
        </is>
      </c>
      <c r="I1" s="6" t="inlineStr">
        <is>
          <t>Difference YTD %</t>
        </is>
      </c>
      <c r="J1" s="6" t="inlineStr">
        <is>
          <t>Benchmark</t>
        </is>
      </c>
      <c r="K1" s="6" t="inlineStr">
        <is>
          <t>Beregnet justering</t>
        </is>
      </c>
      <c r="L1" s="6" t="inlineStr">
        <is>
          <t>Kommentar YTD</t>
        </is>
      </c>
      <c r="M1" s="6" t="inlineStr">
        <is>
          <t>Projektcontroller</t>
        </is>
      </c>
      <c r="N1" s="6" t="inlineStr">
        <is>
          <t>Startdato</t>
        </is>
      </c>
      <c r="O1" s="6" t="inlineStr">
        <is>
          <t>Slutdato</t>
        </is>
      </c>
    </row>
    <row r="2">
      <c r="A2" s="7" t="inlineStr">
        <is>
          <t>7810</t>
        </is>
      </c>
      <c r="B2" s="8" t="inlineStr">
        <is>
          <t>108750</t>
        </is>
      </c>
      <c r="C2" s="7" t="inlineStr">
        <is>
          <t>78 - 78811 - Web og Visuel Identitet</t>
        </is>
      </c>
      <c r="D2" s="9" t="inlineStr">
        <is>
          <t>10</t>
        </is>
      </c>
      <c r="E2" s="7" t="inlineStr">
        <is>
          <t>Intern produktion mv., køb</t>
        </is>
      </c>
      <c r="F2" s="10" t="n">
        <v>211705.31</v>
      </c>
      <c r="G2" s="10" t="n">
        <v>146602.6</v>
      </c>
      <c r="H2" s="10">
        <f>F2-G2</f>
        <v/>
      </c>
      <c r="I2" s="11">
        <f>IFERROR(G2/F2,"")</f>
        <v/>
      </c>
      <c r="J2" s="11">
        <f>Forudsætninger!$B$3</f>
        <v/>
      </c>
      <c r="K2" s="10">
        <f>IFERROR(G2/J2-F2,"")</f>
        <v/>
      </c>
      <c r="L2" s="7">
        <f>IF(F2=0,"LB = 0","")</f>
        <v/>
      </c>
      <c r="M2" s="7" t="inlineStr">
        <is>
          <t>Karina Hejgård Yagmurcu</t>
        </is>
      </c>
      <c r="N2" s="12" t="n">
        <v>44562</v>
      </c>
      <c r="O2" s="12" t="n">
        <v>55153</v>
      </c>
    </row>
    <row r="3">
      <c r="A3" s="7" t="inlineStr">
        <is>
          <t>7810</t>
        </is>
      </c>
      <c r="B3" s="8" t="inlineStr">
        <is>
          <t>108750</t>
        </is>
      </c>
      <c r="C3" s="7" t="inlineStr">
        <is>
          <t>78 - 78811 - Web og Visuel Identitet</t>
        </is>
      </c>
      <c r="D3" s="9" t="inlineStr">
        <is>
          <t>10</t>
        </is>
      </c>
      <c r="E3" s="7" t="inlineStr">
        <is>
          <t>Øvrige omkostninger</t>
        </is>
      </c>
      <c r="F3" s="10" t="n">
        <v>2782093.8</v>
      </c>
      <c r="G3" s="10" t="n">
        <v>2820416.99</v>
      </c>
      <c r="H3" s="10">
        <f>F3-G3</f>
        <v/>
      </c>
      <c r="I3" s="11">
        <f>IFERROR(G3/F3,"")</f>
        <v/>
      </c>
      <c r="J3" s="11">
        <f>Forudsætninger!$B$3</f>
        <v/>
      </c>
      <c r="K3" s="10">
        <f>IFERROR(G3/J3-F3,"")</f>
        <v/>
      </c>
      <c r="L3" s="7">
        <f>IF(F3=0,"LB = 0","")</f>
        <v/>
      </c>
      <c r="M3" s="7" t="inlineStr">
        <is>
          <t>Karina Hejgård Yagmurcu</t>
        </is>
      </c>
      <c r="N3" s="12" t="n">
        <v>44562</v>
      </c>
      <c r="O3" s="12" t="n">
        <v>55153</v>
      </c>
    </row>
    <row r="4">
      <c r="A4" s="7" t="inlineStr">
        <is>
          <t>7810</t>
        </is>
      </c>
      <c r="B4" s="8" t="inlineStr">
        <is>
          <t>108805</t>
        </is>
      </c>
      <c r="C4" s="7" t="inlineStr">
        <is>
          <t>78 - 78813 - Formidling og Presse</t>
        </is>
      </c>
      <c r="D4" s="9" t="inlineStr">
        <is>
          <t>10</t>
        </is>
      </c>
      <c r="E4" s="7" t="inlineStr">
        <is>
          <t>Intern produktion mv., køb</t>
        </is>
      </c>
      <c r="F4" s="10" t="n">
        <v>3150</v>
      </c>
      <c r="G4" s="10" t="n">
        <v>3150</v>
      </c>
      <c r="H4" s="10">
        <f>F4-G4</f>
        <v/>
      </c>
      <c r="I4" s="11">
        <f>IFERROR(G4/F4,"")</f>
        <v/>
      </c>
      <c r="J4" s="11">
        <f>Forudsætninger!$B$3</f>
        <v/>
      </c>
      <c r="K4" s="10">
        <f>IFERROR(G4/J4-F4,"")</f>
        <v/>
      </c>
      <c r="L4" s="7">
        <f>IF(F4=0,"LB = 0","")</f>
        <v/>
      </c>
      <c r="M4" s="7" t="inlineStr">
        <is>
          <t>Karina Hejgård Yagmurcu</t>
        </is>
      </c>
      <c r="N4" s="12" t="n">
        <v>44562</v>
      </c>
      <c r="O4" s="12" t="n">
        <v>55153</v>
      </c>
    </row>
    <row r="5">
      <c r="A5" s="7" t="inlineStr">
        <is>
          <t>7810</t>
        </is>
      </c>
      <c r="B5" s="8" t="inlineStr">
        <is>
          <t>108805</t>
        </is>
      </c>
      <c r="C5" s="7" t="inlineStr">
        <is>
          <t>78 - 78813 - Formidling og Presse</t>
        </is>
      </c>
      <c r="D5" s="9" t="inlineStr">
        <is>
          <t>10</t>
        </is>
      </c>
      <c r="E5" s="7" t="inlineStr">
        <is>
          <t>Øvrige omkostninger</t>
        </is>
      </c>
      <c r="F5" s="10" t="n">
        <v>1182716.87</v>
      </c>
      <c r="G5" s="10" t="n">
        <v>1182716.87</v>
      </c>
      <c r="H5" s="10">
        <f>F5-G5</f>
        <v/>
      </c>
      <c r="I5" s="11">
        <f>IFERROR(G5/F5,"")</f>
        <v/>
      </c>
      <c r="J5" s="11">
        <f>Forudsætninger!$B$3</f>
        <v/>
      </c>
      <c r="K5" s="10">
        <f>IFERROR(G5/J5-F5,"")</f>
        <v/>
      </c>
      <c r="L5" s="7">
        <f>IF(F5=0,"LB = 0","")</f>
        <v/>
      </c>
      <c r="M5" s="7" t="inlineStr">
        <is>
          <t>Karina Hejgård Yagmurcu</t>
        </is>
      </c>
      <c r="N5" s="12" t="n">
        <v>44562</v>
      </c>
      <c r="O5" s="12" t="n">
        <v>55153</v>
      </c>
    </row>
    <row r="6">
      <c r="A6" s="7" t="inlineStr">
        <is>
          <t>7810</t>
        </is>
      </c>
      <c r="B6" s="8" t="inlineStr">
        <is>
          <t>108818</t>
        </is>
      </c>
      <c r="C6" s="7" t="inlineStr">
        <is>
          <t>78 - 78812 - Organisatorisk Kommunik</t>
        </is>
      </c>
      <c r="D6" s="9" t="inlineStr">
        <is>
          <t>10</t>
        </is>
      </c>
      <c r="E6" s="7" t="inlineStr">
        <is>
          <t>Øvrige omkostninger</t>
        </is>
      </c>
      <c r="F6" s="10" t="n">
        <v>1900</v>
      </c>
      <c r="G6" s="10" t="n">
        <v>1900</v>
      </c>
      <c r="H6" s="10">
        <f>F6-G6</f>
        <v/>
      </c>
      <c r="I6" s="11">
        <f>IFERROR(G6/F6,"")</f>
        <v/>
      </c>
      <c r="J6" s="11">
        <f>Forudsætninger!$B$3</f>
        <v/>
      </c>
      <c r="K6" s="10">
        <f>IFERROR(G6/J6-F6,"")</f>
        <v/>
      </c>
      <c r="L6" s="7">
        <f>IF(F6=0,"LB = 0","")</f>
        <v/>
      </c>
      <c r="M6" s="7" t="inlineStr">
        <is>
          <t>Karina Hejgård Yagmurcu</t>
        </is>
      </c>
      <c r="N6" s="12" t="n">
        <v>44562</v>
      </c>
      <c r="O6" s="12" t="n">
        <v>55153</v>
      </c>
    </row>
    <row r="7">
      <c r="A7" s="7" t="inlineStr">
        <is>
          <t>7810</t>
        </is>
      </c>
      <c r="B7" s="8" t="inlineStr">
        <is>
          <t>108829</t>
        </is>
      </c>
      <c r="C7" s="7" t="inlineStr">
        <is>
          <t>78 - 78810 - Studenterrekruttering</t>
        </is>
      </c>
      <c r="D7" s="9" t="inlineStr">
        <is>
          <t>10</t>
        </is>
      </c>
      <c r="E7" s="7" t="inlineStr">
        <is>
          <t>Intern produktion mv., køb</t>
        </is>
      </c>
      <c r="F7" s="10" t="n">
        <v>27236.96</v>
      </c>
      <c r="G7" s="10" t="n">
        <v>24837</v>
      </c>
      <c r="H7" s="10">
        <f>F7-G7</f>
        <v/>
      </c>
      <c r="I7" s="11">
        <f>IFERROR(G7/F7,"")</f>
        <v/>
      </c>
      <c r="J7" s="11">
        <f>Forudsætninger!$B$3</f>
        <v/>
      </c>
      <c r="K7" s="10">
        <f>IFERROR(G7/J7-F7,"")</f>
        <v/>
      </c>
      <c r="L7" s="7">
        <f>IF(F7=0,"LB = 0","")</f>
        <v/>
      </c>
      <c r="M7" s="7" t="inlineStr">
        <is>
          <t>Karina Hejgård Yagmurcu</t>
        </is>
      </c>
      <c r="N7" s="12" t="n">
        <v>44562</v>
      </c>
      <c r="O7" s="12" t="n">
        <v>55153</v>
      </c>
    </row>
    <row r="8">
      <c r="A8" s="7" t="inlineStr">
        <is>
          <t>7810</t>
        </is>
      </c>
      <c r="B8" s="8" t="inlineStr">
        <is>
          <t>108829</t>
        </is>
      </c>
      <c r="C8" s="7" t="inlineStr">
        <is>
          <t>78 - 78810 - Studenterrekruttering</t>
        </is>
      </c>
      <c r="D8" s="9" t="inlineStr">
        <is>
          <t>10</t>
        </is>
      </c>
      <c r="E8" s="7" t="inlineStr">
        <is>
          <t>Rejser og repræsentation</t>
        </is>
      </c>
      <c r="F8" s="10" t="n">
        <v>231363.46</v>
      </c>
      <c r="G8" s="10" t="n">
        <v>198981.69</v>
      </c>
      <c r="H8" s="10">
        <f>F8-G8</f>
        <v/>
      </c>
      <c r="I8" s="11">
        <f>IFERROR(G8/F8,"")</f>
        <v/>
      </c>
      <c r="J8" s="11">
        <f>Forudsætninger!$B$3</f>
        <v/>
      </c>
      <c r="K8" s="10">
        <f>IFERROR(G8/J8-F8,"")</f>
        <v/>
      </c>
      <c r="L8" s="7">
        <f>IF(F8=0,"LB = 0","")</f>
        <v/>
      </c>
      <c r="M8" s="7" t="inlineStr">
        <is>
          <t>Karina Hejgård Yagmurcu</t>
        </is>
      </c>
      <c r="N8" s="12" t="n">
        <v>44562</v>
      </c>
      <c r="O8" s="12" t="n">
        <v>55153</v>
      </c>
    </row>
    <row r="9">
      <c r="A9" s="7" t="inlineStr">
        <is>
          <t>7810</t>
        </is>
      </c>
      <c r="B9" s="8" t="inlineStr">
        <is>
          <t>108829</t>
        </is>
      </c>
      <c r="C9" s="7" t="inlineStr">
        <is>
          <t>78 - 78810 - Studenterrekruttering</t>
        </is>
      </c>
      <c r="D9" s="9" t="inlineStr">
        <is>
          <t>10</t>
        </is>
      </c>
      <c r="E9" s="7" t="inlineStr">
        <is>
          <t>Øvrige omkostninger</t>
        </is>
      </c>
      <c r="F9" s="10" t="n">
        <v>3585858.11</v>
      </c>
      <c r="G9" s="10" t="n">
        <v>3527187.31</v>
      </c>
      <c r="H9" s="10">
        <f>F9-G9</f>
        <v/>
      </c>
      <c r="I9" s="11">
        <f>IFERROR(G9/F9,"")</f>
        <v/>
      </c>
      <c r="J9" s="11">
        <f>Forudsætninger!$B$3</f>
        <v/>
      </c>
      <c r="K9" s="10">
        <f>IFERROR(G9/J9-F9,"")</f>
        <v/>
      </c>
      <c r="L9" s="7">
        <f>IF(F9=0,"LB = 0","")</f>
        <v/>
      </c>
      <c r="M9" s="7" t="inlineStr">
        <is>
          <t>Karina Hejgård Yagmurcu</t>
        </is>
      </c>
      <c r="N9" s="12" t="n">
        <v>44562</v>
      </c>
      <c r="O9" s="12" t="n">
        <v>55153</v>
      </c>
    </row>
    <row r="10">
      <c r="A10" s="7" t="inlineStr">
        <is>
          <t>7810</t>
        </is>
      </c>
      <c r="B10" s="8" t="inlineStr">
        <is>
          <t>115940</t>
        </is>
      </c>
      <c r="C10" s="7" t="inlineStr">
        <is>
          <t>78 - EU EuroTeQ 2030 (Erasmus+) AKM</t>
        </is>
      </c>
      <c r="D10" s="9" t="inlineStr">
        <is>
          <t>11</t>
        </is>
      </c>
      <c r="E10" s="7" t="inlineStr">
        <is>
          <t>Lejeomkostninger o.l.</t>
        </is>
      </c>
      <c r="F10" s="10" t="n">
        <v>0</v>
      </c>
      <c r="G10" s="10" t="n">
        <v>4420.32</v>
      </c>
      <c r="H10" s="10">
        <f>F10-G10</f>
        <v/>
      </c>
      <c r="I10" s="11">
        <f>IFERROR(G10/F10,"")</f>
        <v/>
      </c>
      <c r="J10" s="11">
        <f>Forudsætninger!$B$3</f>
        <v/>
      </c>
      <c r="K10" s="10">
        <f>IFERROR(G10/J10-F10,"")</f>
        <v/>
      </c>
      <c r="L10" s="7">
        <f>IF(F10=0,"LB = 0","")</f>
        <v/>
      </c>
      <c r="M10" s="7" t="inlineStr">
        <is>
          <t>Victor Lucas Ingerslev Jørgensen</t>
        </is>
      </c>
      <c r="N10" s="12" t="n">
        <v>45658</v>
      </c>
      <c r="O10" s="12" t="n">
        <v>46752</v>
      </c>
    </row>
    <row r="11">
      <c r="A11" s="7" t="inlineStr">
        <is>
          <t>7810</t>
        </is>
      </c>
      <c r="B11" s="8" t="inlineStr">
        <is>
          <t>115940</t>
        </is>
      </c>
      <c r="C11" s="7" t="inlineStr">
        <is>
          <t>78 - EU EuroTeQ 2030 (Erasmus+) AKM</t>
        </is>
      </c>
      <c r="D11" s="9" t="inlineStr">
        <is>
          <t>11</t>
        </is>
      </c>
      <c r="E11" s="7" t="inlineStr">
        <is>
          <t>Rejser og repræsentation</t>
        </is>
      </c>
      <c r="F11" s="10" t="n">
        <v>0</v>
      </c>
      <c r="G11" s="10" t="n">
        <v>225.88</v>
      </c>
      <c r="H11" s="10">
        <f>F11-G11</f>
        <v/>
      </c>
      <c r="I11" s="11">
        <f>IFERROR(G11/F11,"")</f>
        <v/>
      </c>
      <c r="J11" s="11">
        <f>Forudsætninger!$B$3</f>
        <v/>
      </c>
      <c r="K11" s="10">
        <f>IFERROR(G11/J11-F11,"")</f>
        <v/>
      </c>
      <c r="L11" s="7">
        <f>IF(F11=0,"LB = 0","")</f>
        <v/>
      </c>
      <c r="M11" s="7" t="inlineStr">
        <is>
          <t>Victor Lucas Ingerslev Jørgensen</t>
        </is>
      </c>
      <c r="N11" s="12" t="n">
        <v>45658</v>
      </c>
      <c r="O11" s="12" t="n">
        <v>46752</v>
      </c>
    </row>
    <row r="12">
      <c r="A12" s="7" t="inlineStr">
        <is>
          <t>7810</t>
        </is>
      </c>
      <c r="B12" s="8" t="inlineStr">
        <is>
          <t>115940</t>
        </is>
      </c>
      <c r="C12" s="7" t="inlineStr">
        <is>
          <t>78 - EU EuroTeQ 2030 (Erasmus+) AKM</t>
        </is>
      </c>
      <c r="D12" s="9" t="inlineStr">
        <is>
          <t>11</t>
        </is>
      </c>
      <c r="E12" s="7" t="inlineStr">
        <is>
          <t>Øvrige omkostninger</t>
        </is>
      </c>
      <c r="F12" s="10" t="n">
        <v>28958.62</v>
      </c>
      <c r="G12" s="10" t="n">
        <v>25323.88</v>
      </c>
      <c r="H12" s="10">
        <f>F12-G12</f>
        <v/>
      </c>
      <c r="I12" s="11">
        <f>IFERROR(G12/F12,"")</f>
        <v/>
      </c>
      <c r="J12" s="11">
        <f>Forudsætninger!$B$3</f>
        <v/>
      </c>
      <c r="K12" s="10">
        <f>IFERROR(G12/J12-F12,"")</f>
        <v/>
      </c>
      <c r="L12" s="7">
        <f>IF(F12=0,"LB = 0","")</f>
        <v/>
      </c>
      <c r="M12" s="7" t="inlineStr">
        <is>
          <t>Victor Lucas Ingerslev Jørgensen</t>
        </is>
      </c>
      <c r="N12" s="12" t="n">
        <v>45658</v>
      </c>
      <c r="O12" s="12" t="n">
        <v>46752</v>
      </c>
    </row>
    <row r="13">
      <c r="A13" s="7" t="inlineStr">
        <is>
          <t>7810</t>
        </is>
      </c>
      <c r="B13" s="8" t="inlineStr">
        <is>
          <t>115940</t>
        </is>
      </c>
      <c r="C13" s="7" t="inlineStr">
        <is>
          <t>78 - EU EuroTeQ 2030 (Erasmus+) AKM</t>
        </is>
      </c>
      <c r="D13" s="9" t="inlineStr">
        <is>
          <t>97</t>
        </is>
      </c>
      <c r="E13" s="7" t="inlineStr">
        <is>
          <t>Lejeomkostninger o.l.</t>
        </is>
      </c>
      <c r="F13" s="10" t="n">
        <v>0</v>
      </c>
      <c r="G13" s="10" t="n">
        <v>20136.96</v>
      </c>
      <c r="H13" s="10">
        <f>F13-G13</f>
        <v/>
      </c>
      <c r="I13" s="11">
        <f>IFERROR(G13/F13,"")</f>
        <v/>
      </c>
      <c r="J13" s="11">
        <f>Forudsætninger!$B$3</f>
        <v/>
      </c>
      <c r="K13" s="10">
        <f>IFERROR(G13/J13-F13,"")</f>
        <v/>
      </c>
      <c r="L13" s="7">
        <f>IF(F13=0,"LB = 0","")</f>
        <v/>
      </c>
      <c r="M13" s="7" t="inlineStr">
        <is>
          <t>Victor Lucas Ingerslev Jørgensen</t>
        </is>
      </c>
      <c r="N13" s="12" t="n">
        <v>45658</v>
      </c>
      <c r="O13" s="12" t="n">
        <v>46752</v>
      </c>
    </row>
    <row r="14">
      <c r="A14" s="7" t="inlineStr">
        <is>
          <t>7810</t>
        </is>
      </c>
      <c r="B14" s="8" t="inlineStr">
        <is>
          <t>115940</t>
        </is>
      </c>
      <c r="C14" s="7" t="inlineStr">
        <is>
          <t>78 - EU EuroTeQ 2030 (Erasmus+) AKM</t>
        </is>
      </c>
      <c r="D14" s="9" t="inlineStr">
        <is>
          <t>97</t>
        </is>
      </c>
      <c r="E14" s="7" t="inlineStr">
        <is>
          <t>Rejser og repræsentation</t>
        </is>
      </c>
      <c r="F14" s="10" t="n">
        <v>3664</v>
      </c>
      <c r="G14" s="10" t="n">
        <v>3438.12</v>
      </c>
      <c r="H14" s="10">
        <f>F14-G14</f>
        <v/>
      </c>
      <c r="I14" s="11">
        <f>IFERROR(G14/F14,"")</f>
        <v/>
      </c>
      <c r="J14" s="11">
        <f>Forudsætninger!$B$3</f>
        <v/>
      </c>
      <c r="K14" s="10">
        <f>IFERROR(G14/J14-F14,"")</f>
        <v/>
      </c>
      <c r="L14" s="7">
        <f>IF(F14=0,"LB = 0","")</f>
        <v/>
      </c>
      <c r="M14" s="7" t="inlineStr">
        <is>
          <t>Victor Lucas Ingerslev Jørgensen</t>
        </is>
      </c>
      <c r="N14" s="12" t="n">
        <v>45658</v>
      </c>
      <c r="O14" s="12" t="n">
        <v>46752</v>
      </c>
    </row>
    <row r="15">
      <c r="A15" s="7" t="inlineStr">
        <is>
          <t>7810</t>
        </is>
      </c>
      <c r="B15" s="8" t="inlineStr">
        <is>
          <t>115940</t>
        </is>
      </c>
      <c r="C15" s="7" t="inlineStr">
        <is>
          <t>78 - EU EuroTeQ 2030 (Erasmus+) AKM</t>
        </is>
      </c>
      <c r="D15" s="9" t="inlineStr">
        <is>
          <t>97</t>
        </is>
      </c>
      <c r="E15" s="7" t="inlineStr">
        <is>
          <t>Øvrige omkostninger</t>
        </is>
      </c>
      <c r="F15" s="10" t="n">
        <v>139791.39</v>
      </c>
      <c r="G15" s="10" t="n">
        <v>118868.85</v>
      </c>
      <c r="H15" s="10">
        <f>F15-G15</f>
        <v/>
      </c>
      <c r="I15" s="11">
        <f>IFERROR(G15/F15,"")</f>
        <v/>
      </c>
      <c r="J15" s="11">
        <f>Forudsætninger!$B$3</f>
        <v/>
      </c>
      <c r="K15" s="10">
        <f>IFERROR(G15/J15-F15,"")</f>
        <v/>
      </c>
      <c r="L15" s="7">
        <f>IF(F15=0,"LB = 0","")</f>
        <v/>
      </c>
      <c r="M15" s="7" t="inlineStr">
        <is>
          <t>Victor Lucas Ingerslev Jørgensen</t>
        </is>
      </c>
      <c r="N15" s="12" t="n">
        <v>45658</v>
      </c>
      <c r="O15" s="12" t="n">
        <v>46752</v>
      </c>
    </row>
    <row r="16">
      <c r="A16" s="13" t="n"/>
      <c r="B16" s="13" t="n"/>
      <c r="C16" s="13" t="n"/>
      <c r="D16" s="13" t="n"/>
      <c r="E16" s="14" t="inlineStr">
        <is>
          <t>I alt</t>
        </is>
      </c>
      <c r="F16" s="15">
        <f>SUM(F2:F15)</f>
        <v/>
      </c>
      <c r="G16" s="15">
        <f>SUM(G2:G15)</f>
        <v/>
      </c>
      <c r="H16" s="15">
        <f>SUM(H2:H15)</f>
        <v/>
      </c>
      <c r="I16" s="16">
        <f>IFERROR(G16/F16,"")</f>
        <v/>
      </c>
      <c r="J16" s="13" t="n"/>
      <c r="K16" s="15">
        <f>SUM(K2:K15)</f>
        <v/>
      </c>
      <c r="L16" s="13" t="n"/>
      <c r="M16" s="13" t="n"/>
      <c r="N16" s="13" t="n"/>
      <c r="O16" s="13" t="n"/>
    </row>
  </sheetData>
  <autoFilter ref="A1:O15"/>
  <conditionalFormatting sqref="A2:O15">
    <cfRule type="expression" priority="1" dxfId="0" stopIfTrue="0">
      <formula>$H2&lt;0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28" customWidth="1" min="4" max="4"/>
    <col width="74" customWidth="1" min="5" max="5"/>
  </cols>
  <sheetData>
    <row r="1">
      <c r="A1" s="6" t="inlineStr">
        <is>
          <t>Projektnummer</t>
        </is>
      </c>
      <c r="B1" s="6" t="inlineStr">
        <is>
          <t>Projektnavn</t>
        </is>
      </c>
      <c r="C1" s="6" t="inlineStr">
        <is>
          <t>Sektionsnummer</t>
        </is>
      </c>
      <c r="D1" s="6" t="inlineStr">
        <is>
          <t>Projektcontroller</t>
        </is>
      </c>
      <c r="E1" s="6" t="inlineStr">
        <is>
          <t>Årsag</t>
        </is>
      </c>
    </row>
    <row r="2">
      <c r="A2" s="17" t="inlineStr">
        <is>
          <t>109557</t>
        </is>
      </c>
      <c r="B2" s="17" t="inlineStr">
        <is>
          <t>78 - 78814 - EU EuroTeQ</t>
        </is>
      </c>
      <c r="C2" s="17" t="inlineStr">
        <is>
          <t>7810</t>
        </is>
      </c>
      <c r="D2" s="17" t="inlineStr">
        <is>
          <t>Victor Lucas Ingerslev Jørgensen</t>
        </is>
      </c>
      <c r="E2" s="17" t="inlineStr">
        <is>
          <t>Ingen driftskategorier i LB-filen. Kategorier: Omk. ved lukning af projekter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2026-07-28T11:11:28Z</dcterms:created>
  <dcterms:modified xmlns:dcterms="http://purl.org/dc/terms/" xmlns:xsi="http://www.w3.org/2001/XMLSchema-instance" xsi:type="dcterms:W3CDTF">2026-07-28T11:11:28Z</dcterms:modified>
</cp:coreProperties>
</file>